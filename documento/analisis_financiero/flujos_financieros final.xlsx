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i\Downloads\"/>
    </mc:Choice>
  </mc:AlternateContent>
  <xr:revisionPtr revIDLastSave="0" documentId="13_ncr:1_{740972B8-D372-49BC-9C8D-E90EDFBAE35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upuestos" sheetId="1" r:id="rId1"/>
    <sheet name="Flujos" sheetId="2" r:id="rId2"/>
    <sheet name="CAPEX_implementacion" sheetId="3" r:id="rId3"/>
    <sheet name="B_frente_solar" sheetId="4" r:id="rId4"/>
    <sheet name="Operacion_P1C75" sheetId="5" r:id="rId5"/>
    <sheet name="Costo_academic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6" l="1"/>
  <c r="C10" i="6"/>
  <c r="C11" i="3"/>
  <c r="C12" i="3" s="1"/>
  <c r="C14" i="3" s="1"/>
  <c r="C68" i="2"/>
  <c r="D68" i="2" s="1"/>
  <c r="E68" i="2" s="1"/>
  <c r="F68" i="2" s="1"/>
  <c r="G68" i="2" s="1"/>
  <c r="B68" i="2"/>
  <c r="B67" i="2"/>
  <c r="C67" i="2" s="1"/>
  <c r="D67" i="2" s="1"/>
  <c r="E67" i="2" s="1"/>
  <c r="F67" i="2" s="1"/>
  <c r="G67" i="2" s="1"/>
  <c r="B66" i="2"/>
  <c r="B65" i="2"/>
  <c r="B56" i="2"/>
  <c r="C56" i="2" s="1"/>
  <c r="D56" i="2" s="1"/>
  <c r="E56" i="2" s="1"/>
  <c r="F56" i="2" s="1"/>
  <c r="G56" i="2" s="1"/>
  <c r="B55" i="2"/>
  <c r="C55" i="2" s="1"/>
  <c r="D55" i="2" s="1"/>
  <c r="E55" i="2" s="1"/>
  <c r="F55" i="2" s="1"/>
  <c r="G55" i="2" s="1"/>
  <c r="B54" i="2"/>
  <c r="B53" i="2"/>
  <c r="B44" i="2"/>
  <c r="C44" i="2" s="1"/>
  <c r="D44" i="2" s="1"/>
  <c r="E44" i="2" s="1"/>
  <c r="F44" i="2" s="1"/>
  <c r="G44" i="2" s="1"/>
  <c r="B43" i="2"/>
  <c r="C43" i="2" s="1"/>
  <c r="D43" i="2" s="1"/>
  <c r="E43" i="2" s="1"/>
  <c r="F43" i="2" s="1"/>
  <c r="G43" i="2" s="1"/>
  <c r="B42" i="2"/>
  <c r="B41" i="2"/>
  <c r="B32" i="2"/>
  <c r="C32" i="2" s="1"/>
  <c r="D32" i="2" s="1"/>
  <c r="E32" i="2" s="1"/>
  <c r="F32" i="2" s="1"/>
  <c r="G32" i="2" s="1"/>
  <c r="C31" i="2"/>
  <c r="D31" i="2" s="1"/>
  <c r="E31" i="2" s="1"/>
  <c r="F31" i="2" s="1"/>
  <c r="G31" i="2" s="1"/>
  <c r="B31" i="2"/>
  <c r="B30" i="2"/>
  <c r="B29" i="2"/>
  <c r="C20" i="2"/>
  <c r="D20" i="2" s="1"/>
  <c r="E20" i="2" s="1"/>
  <c r="F20" i="2" s="1"/>
  <c r="G20" i="2" s="1"/>
  <c r="B20" i="2"/>
  <c r="B19" i="2"/>
  <c r="C19" i="2" s="1"/>
  <c r="D19" i="2" s="1"/>
  <c r="E19" i="2" s="1"/>
  <c r="F19" i="2" s="1"/>
  <c r="G19" i="2" s="1"/>
  <c r="B18" i="2"/>
  <c r="B17" i="2"/>
  <c r="B8" i="2"/>
  <c r="C8" i="2" s="1"/>
  <c r="D8" i="2" s="1"/>
  <c r="E8" i="2" s="1"/>
  <c r="F8" i="2" s="1"/>
  <c r="G8" i="2" s="1"/>
  <c r="C7" i="2"/>
  <c r="D7" i="2" s="1"/>
  <c r="E7" i="2" s="1"/>
  <c r="F7" i="2" s="1"/>
  <c r="G7" i="2" s="1"/>
  <c r="B7" i="2"/>
  <c r="B6" i="2"/>
  <c r="B5" i="2"/>
</calcChain>
</file>

<file path=xl/sharedStrings.xml><?xml version="1.0" encoding="utf-8"?>
<sst xmlns="http://schemas.openxmlformats.org/spreadsheetml/2006/main" count="279" uniqueCount="186">
  <si>
    <t>Parámetro</t>
  </si>
  <si>
    <t>Valor</t>
  </si>
  <si>
    <t>Tipo</t>
  </si>
  <si>
    <t>Fuente o justificación</t>
  </si>
  <si>
    <t>CAPEX A, implementación recomendada [COP]</t>
  </si>
  <si>
    <t>Cálculo</t>
  </si>
  <si>
    <t>Hoja CAPEX_implementacion; precios de data/reference/cotizaciones_bom.md (19-20 oct 2026)</t>
  </si>
  <si>
    <t>CAPEX B, implementación recomendada [COP]</t>
  </si>
  <si>
    <t>A + cámara de secado</t>
  </si>
  <si>
    <t>Secador mecánico manual nuevo (sin proyecto de B) [COP]</t>
  </si>
  <si>
    <t>Hoja CAPEX_implementacion: cámara, resistencias, ventilador, contactor, termostato, kit de inversión y tablero</t>
  </si>
  <si>
    <t>Inversión incremental de B [COP]</t>
  </si>
  <si>
    <t>CAPEX B - secador manual: control, instrumentación, variador, actuador, ingeniería</t>
  </si>
  <si>
    <t>CAPEX de referencia con S7-1200 (A / B) [COP]</t>
  </si>
  <si>
    <t>22,707,081 / 25,201,451</t>
  </si>
  <si>
    <t>Dato</t>
  </si>
  <si>
    <t>Cotización completa, para comparar</t>
  </si>
  <si>
    <t>Controlador WAGO Compact Controller 100 [GBP]</t>
  </si>
  <si>
    <t>Farnell UK, 751-9301, sin IVA, 23 oct 2026; CODESYS V3, 8 DI, 4 DO, 2 AI, 2 AO, Modbus TCP, WebVisu</t>
  </si>
  <si>
    <t>Tasa GBP/COP</t>
  </si>
  <si>
    <t>Pound Sterling Live (Barchart), 23 oct 2026</t>
  </si>
  <si>
    <t>Controlador con IVA, envío y arancel [COP]</t>
  </si>
  <si>
    <t>x 1,37, mismo criterio del BOM</t>
  </si>
  <si>
    <t>Licencias de software [COP]</t>
  </si>
  <si>
    <t>CODESYS Development System gratuito; WebVisu incluido en el controlador</t>
  </si>
  <si>
    <t>Ingeniería por unidad [COP]</t>
  </si>
  <si>
    <t>Supuesto</t>
  </si>
  <si>
    <t>24 h x 100 000 COP/h: adaptación del programa existente y puesta en marcha</t>
  </si>
  <si>
    <t>Minutos por inversión manual del aire</t>
  </si>
  <si>
    <t>Mover la compuerta y verificar</t>
  </si>
  <si>
    <t>Muestreo de humedad al final del lote [h]</t>
  </si>
  <si>
    <t>Varias muestras para decidir el fin</t>
  </si>
  <si>
    <t>Recargo nocturno</t>
  </si>
  <si>
    <t>Código Sustantivo del Trabajo, art. 168; la mitad de las horas del lote es nocturna</t>
  </si>
  <si>
    <t>Tarifa no residencial [COP/kWh]</t>
  </si>
  <si>
    <t>CHEC, sept 2026, nivel 1, comercial e industrial (uso productivo del secador)</t>
  </si>
  <si>
    <t>Tarifa residencial (sensibilidad) [COP/kWh]</t>
  </si>
  <si>
    <t>CHEC, sept 2026, nivel 1, residencial sobre subsistencia</t>
  </si>
  <si>
    <t>Salario mínimo 2026 [COP/mes]</t>
  </si>
  <si>
    <t>Decreto 1469 de 2025</t>
  </si>
  <si>
    <t>Factor prestacional</t>
  </si>
  <si>
    <t>Prestaciones sociales y seguridad social sobre el salario</t>
  </si>
  <si>
    <t>Horas laborales por mes (divisor)</t>
  </si>
  <si>
    <t>42 h/semana desde el 15 jul 2026 (Ley 2101 de 2021); hora ordinaria = SMMLV/210 = 8 338 COP</t>
  </si>
  <si>
    <t>Costo hora de operario [COP/h]</t>
  </si>
  <si>
    <t>Hora ordinaria (SMMLV/210) x factor prestacional</t>
  </si>
  <si>
    <t>Precio interno café pergamino [COP/carga 125 kg]</t>
  </si>
  <si>
    <t>Precio interno de referencia, 21 oct 2026 (La República con dato FNC)</t>
  </si>
  <si>
    <t>Tasa nominal de referencia</t>
  </si>
  <si>
    <t>Techo Finagro IBR + 6,7 pp (Res. 10 de 2025) con IBR ~ 12,25 % (BanRep, sept 2026)</t>
  </si>
  <si>
    <t>Inflación anual</t>
  </si>
  <si>
    <t>6,2 % (agosto 2026)</t>
  </si>
  <si>
    <t>Tasa real central</t>
  </si>
  <si>
    <t>(1 + nominal)/(1 + inflación) - 1; sensibilidad 8 % y 16 %</t>
  </si>
  <si>
    <t>Horizonte [años]</t>
  </si>
  <si>
    <t>Ruta acotada propuesta por la guía</t>
  </si>
  <si>
    <t>Energía REF por lote [kWh]</t>
  </si>
  <si>
    <t>Resultado</t>
  </si>
  <si>
    <t>Campaña Monte Carlo, media de 150 realizaciones</t>
  </si>
  <si>
    <t>Energía P1-C75 por lote [kWh]</t>
  </si>
  <si>
    <t>Ídem</t>
  </si>
  <si>
    <t>Energía ACTIVA por lote [kWh]</t>
  </si>
  <si>
    <t>Ídem (extractor solar)</t>
  </si>
  <si>
    <t>Tiempo REF / P1-C75 [h]</t>
  </si>
  <si>
    <t>32.4 / 45.7</t>
  </si>
  <si>
    <t>Impuestos y financiación</t>
  </si>
  <si>
    <t>Excluidos</t>
  </si>
  <si>
    <t>Cálculo antes de impuestos, sin crédito</t>
  </si>
  <si>
    <t>Capital de trabajo</t>
  </si>
  <si>
    <t>Sin inventario propio; la energía se paga mensual</t>
  </si>
  <si>
    <t>Escenarios (supuestos por escenario)</t>
  </si>
  <si>
    <t>Escenario</t>
  </si>
  <si>
    <t>Lotes/año</t>
  </si>
  <si>
    <t>Tasa real</t>
  </si>
  <si>
    <t>Min. de supervisión por hora (A)</t>
  </si>
  <si>
    <t>Sobresecado evitado A [pts]</t>
  </si>
  <si>
    <t>h evitadas B</t>
  </si>
  <si>
    <t>Mantenimiento [% equipos/año]</t>
  </si>
  <si>
    <t>Valor residual [% equipos]</t>
  </si>
  <si>
    <t>Conservador</t>
  </si>
  <si>
    <t>Central</t>
  </si>
  <si>
    <t>Favorable</t>
  </si>
  <si>
    <t>Alternativa A — escenario Conservador</t>
  </si>
  <si>
    <t>Año</t>
  </si>
  <si>
    <t>Flujo de caja [COP]</t>
  </si>
  <si>
    <t>VPN = VNA(tasa; FC1:FCH) + FC0</t>
  </si>
  <si>
    <t>TIR(FC0:FCH)</t>
  </si>
  <si>
    <t>Acumulado simple</t>
  </si>
  <si>
    <t>Acumulado descontado</t>
  </si>
  <si>
    <t>Recuperación simple / descontada</t>
  </si>
  <si>
    <t>&gt; 5 años / &gt; 5 años</t>
  </si>
  <si>
    <t>Beneficio neto por lote [COP]</t>
  </si>
  <si>
    <t>Beneficio por lote necesario para VPN = 0</t>
  </si>
  <si>
    <t>Alternativa A — escenario Central</t>
  </si>
  <si>
    <t>2.5 años / 3.2 años</t>
  </si>
  <si>
    <t>Alternativa A — escenario Favorable</t>
  </si>
  <si>
    <t>1.3 años / 1.4 años</t>
  </si>
  <si>
    <t>Alternativa B — escenario Conservador</t>
  </si>
  <si>
    <t>Alternativa B — escenario Central</t>
  </si>
  <si>
    <t>1.6 años / 1.9 años</t>
  </si>
  <si>
    <t>Alternativa B — escenario Favorable</t>
  </si>
  <si>
    <t>0.9 años / 0.9 años</t>
  </si>
  <si>
    <t>Grupo</t>
  </si>
  <si>
    <t>Componentes</t>
  </si>
  <si>
    <t>COP</t>
  </si>
  <si>
    <t>Proceso</t>
  </si>
  <si>
    <t>3 resistencias de 2 kW, ventilador trifásico, variador, 3 SSR con disipador, contactor</t>
  </si>
  <si>
    <t>A</t>
  </si>
  <si>
    <t>Seguridad</t>
  </si>
  <si>
    <t>Presostato diferencial y termostato de rearme manual</t>
  </si>
  <si>
    <t>Instrumentación</t>
  </si>
  <si>
    <t>PT100 con transmisor 4-20 mA y transmisor de HR ambiente</t>
  </si>
  <si>
    <t>Actuación</t>
  </si>
  <si>
    <t>Actuador eléctrico Belimo LF24 para la compuerta de inversión</t>
  </si>
  <si>
    <t>Control</t>
  </si>
  <si>
    <t>WAGO Compact Controller 100 (CODESYS V3, WebVisu), fuente 24 V, pulsadores, paro y torre de luces</t>
  </si>
  <si>
    <t>Tablero</t>
  </si>
  <si>
    <t>Gabinete, breakers y cableado (10 % de los equipos eléctricos, supuesto)</t>
  </si>
  <si>
    <t>Kit de inversión</t>
  </si>
  <si>
    <t>Ductos, caja de compuerta, aislamiento y 16 h de taller</t>
  </si>
  <si>
    <t>Ingeniería</t>
  </si>
  <si>
    <t>Adaptación del programa y puesta en marcha, 24 h x 100 000 COP/h (supuesto)</t>
  </si>
  <si>
    <t>Cámara (solo B)</t>
  </si>
  <si>
    <t>Cámara aislada de 1,13 x 1,13 x 0,95 m, bandeja y 40 h de taller</t>
  </si>
  <si>
    <t>B</t>
  </si>
  <si>
    <t>CAPEX A</t>
  </si>
  <si>
    <t>CAPEX B</t>
  </si>
  <si>
    <t>Cambios frente a la cotización con S7-1200: controlador CODESYS WAGO CC100 y WebVisu en lugar de S7-1200, módulos, STEP 7 y panel HMI; actuador eléctrico en lugar de neumático; sin medidor de humedad (también lo requiere la situación sin proyecto); ingeniería de 24 h (el programa ya existe).</t>
  </si>
  <si>
    <t>Secador manual nuevo (situación sin proyecto de B)</t>
  </si>
  <si>
    <t>Inversión incremental de B</t>
  </si>
  <si>
    <t>Componentes del secador manual nuevo</t>
  </si>
  <si>
    <t>Cámara de secado, bandeja y 40 h de taller</t>
  </si>
  <si>
    <t>3 resistencias de 2 kW</t>
  </si>
  <si>
    <t>Ventilador centrífugo</t>
  </si>
  <si>
    <t>Contactor de corte</t>
  </si>
  <si>
    <t>Termostato de seguridad de rearme manual</t>
  </si>
  <si>
    <t>Kit de inversión del aire (ductos y compuerta manual)</t>
  </si>
  <si>
    <t>Gabinete y breakers</t>
  </si>
  <si>
    <t>Horas de supervisión manual evitadas por lote (de la simulación, REF):</t>
  </si>
  <si>
    <t>5 min de revisión por hora de secado</t>
  </si>
  <si>
    <t>10 min de revisión por hora de secado</t>
  </si>
  <si>
    <t>15 min de revisión por hora de secado</t>
  </si>
  <si>
    <t>Neto por lote</t>
  </si>
  <si>
    <t>Tasa</t>
  </si>
  <si>
    <t>VPN</t>
  </si>
  <si>
    <t>TIR</t>
  </si>
  <si>
    <t>FC0</t>
  </si>
  <si>
    <t>FC1-FC4</t>
  </si>
  <si>
    <t>FC5</t>
  </si>
  <si>
    <t>No existe</t>
  </si>
  <si>
    <t>Ahorro de energía P1-C75 frente a REF [kWh/lote]</t>
  </si>
  <si>
    <t>Tiempo adicional por lote [h]</t>
  </si>
  <si>
    <t>Tarifa [COP/kWh]</t>
  </si>
  <si>
    <t>Ahorro/lote</t>
  </si>
  <si>
    <t>Ahorro anual</t>
  </si>
  <si>
    <t>VP 5 años 8 %</t>
  </si>
  <si>
    <t>VP 5 años 12 %</t>
  </si>
  <si>
    <t>VP 5 años 16 %</t>
  </si>
  <si>
    <t>Costo académico del desarrollo (perspectiva de la universidad). No entra al flujo de caja del implementador.</t>
  </si>
  <si>
    <t>Periodo</t>
  </si>
  <si>
    <t>Actividad</t>
  </si>
  <si>
    <t>Horas</t>
  </si>
  <si>
    <t>Evidencia</t>
  </si>
  <si>
    <t>2-8 sep 2026</t>
  </si>
  <si>
    <t>Revisión del anteproyecto y guía de trabajo con cronograma</t>
  </si>
  <si>
    <t>Guía vigente del trabajo de grado (8 sep)</t>
  </si>
  <si>
    <t>15-23 sep 2026</t>
  </si>
  <si>
    <t>Lectura de la primera versión del documento y retroalimentación</t>
  </si>
  <si>
    <t>Informe de revisión del documento (23 sep)</t>
  </si>
  <si>
    <t>24-29 sep 2026</t>
  </si>
  <si>
    <t>Revisión del modelado y del diseño de la campaña</t>
  </si>
  <si>
    <t>Informe de prioridades de modelado y campaña (29 sep)</t>
  </si>
  <si>
    <t>13-21 oct 2026</t>
  </si>
  <si>
    <t>Revisión de resultados, repositorio y código; guía de cierre</t>
  </si>
  <si>
    <t>Guía de cierre (21 oct)</t>
  </si>
  <si>
    <t>22-23 oct 2026</t>
  </si>
  <si>
    <t>Lectura de la versión final y guía de correcciones</t>
  </si>
  <si>
    <t>Guía de correcciones exprés (23 oct)</t>
  </si>
  <si>
    <t>sep-oct 2026</t>
  </si>
  <si>
    <t>Reuniones y mensajes de seguimiento</t>
  </si>
  <si>
    <t>Correos y mensajes</t>
  </si>
  <si>
    <t>Total de horas (estimación)</t>
  </si>
  <si>
    <t>Valor de referencia de la hora [COP/h] (supuesto: consultoría especializada; la hora cátedra pública del Decreto 0301 de 2026 es 44 973 COP/h)</t>
  </si>
  <si>
    <t>Valor de la asesoría [COP]</t>
  </si>
  <si>
    <t>La tarifa es una referencia de valoración del recurso consumido, no el salario real del asesor. La ingeniería de implementación (60 h) está en el CAPEX y no se cruza con estas horas.</t>
  </si>
  <si>
    <t>Sistema completo frente a seguir secando al sol: cada lote eléctrico cuesta más energía de la que ahorra en mano de obra, así que no se recupera. Esto aplica a fincas que pueden seguir secando al sol.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</si>
</sst>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/>
    <xf numFmtId="3" fontId="0" fillId="2" borderId="1" xfId="0" applyNumberFormat="1" applyFill="1" applyBorder="1"/>
    <xf numFmtId="164" fontId="0" fillId="2" borderId="1" xfId="0" applyNumberFormat="1" applyFill="1" applyBorder="1"/>
    <xf numFmtId="0" fontId="1" fillId="3" borderId="1" xfId="0" applyFont="1" applyFill="1" applyBorder="1"/>
    <xf numFmtId="0" fontId="0" fillId="0" borderId="0" xfId="0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 applyBorder="1"/>
    <xf numFmtId="3" fontId="0" fillId="0" borderId="0" xfId="0" applyNumberFormat="1" applyBorder="1"/>
    <xf numFmtId="0" fontId="1" fillId="3" borderId="1" xfId="0" applyFont="1" applyFill="1" applyBorder="1" applyAlignment="1">
      <alignment horizontal="right"/>
    </xf>
    <xf numFmtId="0" fontId="0" fillId="3" borderId="1" xfId="0" applyFill="1" applyBorder="1"/>
    <xf numFmtId="0" fontId="0" fillId="3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164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7"/>
  <sheetViews>
    <sheetView workbookViewId="0">
      <selection activeCell="C11" sqref="C11"/>
    </sheetView>
  </sheetViews>
  <sheetFormatPr defaultRowHeight="14.4" x14ac:dyDescent="0.3"/>
  <cols>
    <col min="1" max="1" width="46.6640625" customWidth="1"/>
    <col min="2" max="2" width="16.6640625" customWidth="1"/>
    <col min="3" max="3" width="11.6640625" customWidth="1"/>
    <col min="4" max="4" width="92.21875" customWidth="1"/>
    <col min="5" max="5" width="20.109375" customWidth="1"/>
    <col min="6" max="6" width="18.33203125" customWidth="1"/>
    <col min="7" max="7" width="17.21875" customWidth="1"/>
    <col min="8" max="8" width="33.1093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3">
      <c r="A2" s="1" t="s">
        <v>4</v>
      </c>
      <c r="B2" s="2">
        <v>14333890</v>
      </c>
      <c r="C2" s="1" t="s">
        <v>5</v>
      </c>
      <c r="D2" s="1" t="s">
        <v>6</v>
      </c>
    </row>
    <row r="3" spans="1:4" x14ac:dyDescent="0.3">
      <c r="A3" s="1" t="s">
        <v>7</v>
      </c>
      <c r="B3" s="2">
        <v>16828260</v>
      </c>
      <c r="C3" s="1" t="s">
        <v>5</v>
      </c>
      <c r="D3" s="1" t="s">
        <v>8</v>
      </c>
    </row>
    <row r="4" spans="1:4" x14ac:dyDescent="0.3">
      <c r="A4" s="1" t="s">
        <v>9</v>
      </c>
      <c r="B4" s="2">
        <v>7352547</v>
      </c>
      <c r="C4" s="1" t="s">
        <v>5</v>
      </c>
      <c r="D4" s="1" t="s">
        <v>10</v>
      </c>
    </row>
    <row r="5" spans="1:4" x14ac:dyDescent="0.3">
      <c r="A5" s="1" t="s">
        <v>11</v>
      </c>
      <c r="B5" s="2">
        <v>9475713</v>
      </c>
      <c r="C5" s="1" t="s">
        <v>5</v>
      </c>
      <c r="D5" s="1" t="s">
        <v>12</v>
      </c>
    </row>
    <row r="6" spans="1:4" x14ac:dyDescent="0.3">
      <c r="A6" s="1" t="s">
        <v>13</v>
      </c>
      <c r="B6" s="1" t="s">
        <v>14</v>
      </c>
      <c r="C6" s="1" t="s">
        <v>15</v>
      </c>
      <c r="D6" s="1" t="s">
        <v>16</v>
      </c>
    </row>
    <row r="7" spans="1:4" x14ac:dyDescent="0.3">
      <c r="A7" s="1" t="s">
        <v>17</v>
      </c>
      <c r="B7" s="2">
        <v>468.88</v>
      </c>
      <c r="C7" s="1" t="s">
        <v>15</v>
      </c>
      <c r="D7" s="1" t="s">
        <v>18</v>
      </c>
    </row>
    <row r="8" spans="1:4" x14ac:dyDescent="0.3">
      <c r="A8" s="1" t="s">
        <v>19</v>
      </c>
      <c r="B8" s="2">
        <v>4266.6000000000004</v>
      </c>
      <c r="C8" s="1" t="s">
        <v>15</v>
      </c>
      <c r="D8" s="1" t="s">
        <v>20</v>
      </c>
    </row>
    <row r="9" spans="1:4" x14ac:dyDescent="0.3">
      <c r="A9" s="1" t="s">
        <v>21</v>
      </c>
      <c r="B9" s="2">
        <v>2740717</v>
      </c>
      <c r="C9" s="1" t="s">
        <v>5</v>
      </c>
      <c r="D9" s="1" t="s">
        <v>22</v>
      </c>
    </row>
    <row r="10" spans="1:4" x14ac:dyDescent="0.3">
      <c r="A10" s="1" t="s">
        <v>23</v>
      </c>
      <c r="B10" s="1">
        <v>0</v>
      </c>
      <c r="C10" s="1" t="s">
        <v>15</v>
      </c>
      <c r="D10" s="1" t="s">
        <v>24</v>
      </c>
    </row>
    <row r="11" spans="1:4" x14ac:dyDescent="0.3">
      <c r="A11" s="1" t="s">
        <v>25</v>
      </c>
      <c r="B11" s="2">
        <v>2400000</v>
      </c>
      <c r="C11" s="1" t="s">
        <v>26</v>
      </c>
      <c r="D11" s="1" t="s">
        <v>27</v>
      </c>
    </row>
    <row r="12" spans="1:4" x14ac:dyDescent="0.3">
      <c r="A12" s="1" t="s">
        <v>28</v>
      </c>
      <c r="B12" s="1">
        <v>20</v>
      </c>
      <c r="C12" s="1" t="s">
        <v>26</v>
      </c>
      <c r="D12" s="1" t="s">
        <v>29</v>
      </c>
    </row>
    <row r="13" spans="1:4" x14ac:dyDescent="0.3">
      <c r="A13" s="1" t="s">
        <v>30</v>
      </c>
      <c r="B13" s="1">
        <v>1</v>
      </c>
      <c r="C13" s="1" t="s">
        <v>26</v>
      </c>
      <c r="D13" s="1" t="s">
        <v>31</v>
      </c>
    </row>
    <row r="14" spans="1:4" x14ac:dyDescent="0.3">
      <c r="A14" s="1" t="s">
        <v>32</v>
      </c>
      <c r="B14" s="3">
        <v>0.35</v>
      </c>
      <c r="C14" s="1" t="s">
        <v>15</v>
      </c>
      <c r="D14" s="1" t="s">
        <v>33</v>
      </c>
    </row>
    <row r="15" spans="1:4" x14ac:dyDescent="0.3">
      <c r="A15" s="1" t="s">
        <v>34</v>
      </c>
      <c r="B15" s="2">
        <v>1144.3471999999999</v>
      </c>
      <c r="C15" s="1" t="s">
        <v>15</v>
      </c>
      <c r="D15" s="1" t="s">
        <v>35</v>
      </c>
    </row>
    <row r="16" spans="1:4" x14ac:dyDescent="0.3">
      <c r="A16" s="1" t="s">
        <v>36</v>
      </c>
      <c r="B16" s="2">
        <v>953.62270000000001</v>
      </c>
      <c r="C16" s="1" t="s">
        <v>15</v>
      </c>
      <c r="D16" s="1" t="s">
        <v>37</v>
      </c>
    </row>
    <row r="17" spans="1:4" x14ac:dyDescent="0.3">
      <c r="A17" s="1" t="s">
        <v>38</v>
      </c>
      <c r="B17" s="2">
        <v>1750905</v>
      </c>
      <c r="C17" s="1" t="s">
        <v>15</v>
      </c>
      <c r="D17" s="1" t="s">
        <v>39</v>
      </c>
    </row>
    <row r="18" spans="1:4" x14ac:dyDescent="0.3">
      <c r="A18" s="1" t="s">
        <v>40</v>
      </c>
      <c r="B18" s="1">
        <v>1.52</v>
      </c>
      <c r="C18" s="1" t="s">
        <v>26</v>
      </c>
      <c r="D18" s="1" t="s">
        <v>41</v>
      </c>
    </row>
    <row r="19" spans="1:4" x14ac:dyDescent="0.3">
      <c r="A19" s="1" t="s">
        <v>42</v>
      </c>
      <c r="B19" s="2">
        <v>210</v>
      </c>
      <c r="C19" s="1" t="s">
        <v>15</v>
      </c>
      <c r="D19" s="1" t="s">
        <v>43</v>
      </c>
    </row>
    <row r="20" spans="1:4" x14ac:dyDescent="0.3">
      <c r="A20" s="1" t="s">
        <v>44</v>
      </c>
      <c r="B20" s="2">
        <v>12673.21714285714</v>
      </c>
      <c r="C20" s="1" t="s">
        <v>5</v>
      </c>
      <c r="D20" s="1" t="s">
        <v>45</v>
      </c>
    </row>
    <row r="21" spans="1:4" x14ac:dyDescent="0.3">
      <c r="A21" s="1" t="s">
        <v>46</v>
      </c>
      <c r="B21" s="2">
        <v>2235000</v>
      </c>
      <c r="C21" s="1" t="s">
        <v>15</v>
      </c>
      <c r="D21" s="1" t="s">
        <v>47</v>
      </c>
    </row>
    <row r="22" spans="1:4" x14ac:dyDescent="0.3">
      <c r="A22" s="1" t="s">
        <v>48</v>
      </c>
      <c r="B22" s="3">
        <v>0.1895</v>
      </c>
      <c r="C22" s="1" t="s">
        <v>15</v>
      </c>
      <c r="D22" s="1" t="s">
        <v>49</v>
      </c>
    </row>
    <row r="23" spans="1:4" x14ac:dyDescent="0.3">
      <c r="A23" s="1" t="s">
        <v>50</v>
      </c>
      <c r="B23" s="3">
        <v>6.2E-2</v>
      </c>
      <c r="C23" s="1" t="s">
        <v>15</v>
      </c>
      <c r="D23" s="1" t="s">
        <v>51</v>
      </c>
    </row>
    <row r="24" spans="1:4" x14ac:dyDescent="0.3">
      <c r="A24" s="1" t="s">
        <v>52</v>
      </c>
      <c r="B24" s="3">
        <v>0.12005649717514121</v>
      </c>
      <c r="C24" s="1" t="s">
        <v>5</v>
      </c>
      <c r="D24" s="1" t="s">
        <v>53</v>
      </c>
    </row>
    <row r="25" spans="1:4" x14ac:dyDescent="0.3">
      <c r="A25" s="1" t="s">
        <v>54</v>
      </c>
      <c r="B25" s="1">
        <v>5</v>
      </c>
      <c r="C25" s="1" t="s">
        <v>26</v>
      </c>
      <c r="D25" s="1" t="s">
        <v>55</v>
      </c>
    </row>
    <row r="26" spans="1:4" x14ac:dyDescent="0.3">
      <c r="A26" s="1" t="s">
        <v>56</v>
      </c>
      <c r="B26" s="2">
        <v>140.5580888888887</v>
      </c>
      <c r="C26" s="1" t="s">
        <v>57</v>
      </c>
      <c r="D26" s="1" t="s">
        <v>58</v>
      </c>
    </row>
    <row r="27" spans="1:4" x14ac:dyDescent="0.3">
      <c r="A27" s="1" t="s">
        <v>59</v>
      </c>
      <c r="B27" s="2">
        <v>117.55972534722051</v>
      </c>
      <c r="C27" s="1" t="s">
        <v>57</v>
      </c>
      <c r="D27" s="1" t="s">
        <v>60</v>
      </c>
    </row>
    <row r="28" spans="1:4" x14ac:dyDescent="0.3">
      <c r="A28" s="1" t="s">
        <v>61</v>
      </c>
      <c r="B28" s="1">
        <v>2.7545475821818068</v>
      </c>
      <c r="C28" s="1" t="s">
        <v>57</v>
      </c>
      <c r="D28" s="1" t="s">
        <v>62</v>
      </c>
    </row>
    <row r="29" spans="1:4" x14ac:dyDescent="0.3">
      <c r="A29" s="1" t="s">
        <v>63</v>
      </c>
      <c r="B29" s="1" t="s">
        <v>64</v>
      </c>
      <c r="C29" s="1" t="s">
        <v>57</v>
      </c>
      <c r="D29" s="1" t="s">
        <v>60</v>
      </c>
    </row>
    <row r="30" spans="1:4" x14ac:dyDescent="0.3">
      <c r="A30" s="1" t="s">
        <v>65</v>
      </c>
      <c r="B30" s="1" t="s">
        <v>66</v>
      </c>
      <c r="C30" s="1" t="s">
        <v>26</v>
      </c>
      <c r="D30" s="1" t="s">
        <v>67</v>
      </c>
    </row>
    <row r="31" spans="1:4" x14ac:dyDescent="0.3">
      <c r="A31" s="1" t="s">
        <v>68</v>
      </c>
      <c r="B31" s="1">
        <v>0</v>
      </c>
      <c r="C31" s="1" t="s">
        <v>26</v>
      </c>
      <c r="D31" s="1" t="s">
        <v>69</v>
      </c>
    </row>
    <row r="33" spans="1:8" x14ac:dyDescent="0.3">
      <c r="A33" s="6" t="s">
        <v>70</v>
      </c>
      <c r="B33" s="5"/>
      <c r="C33" s="5"/>
      <c r="D33" s="5"/>
      <c r="E33" s="5"/>
      <c r="F33" s="5"/>
      <c r="G33" s="5"/>
      <c r="H33" s="5"/>
    </row>
    <row r="34" spans="1:8" ht="28.8" x14ac:dyDescent="0.3">
      <c r="A34" s="6" t="s">
        <v>71</v>
      </c>
      <c r="B34" s="6" t="s">
        <v>72</v>
      </c>
      <c r="C34" s="6" t="s">
        <v>73</v>
      </c>
      <c r="D34" s="7" t="s">
        <v>74</v>
      </c>
      <c r="E34" s="7" t="s">
        <v>75</v>
      </c>
      <c r="F34" s="7" t="s">
        <v>76</v>
      </c>
      <c r="G34" s="7" t="s">
        <v>77</v>
      </c>
      <c r="H34" s="7" t="s">
        <v>78</v>
      </c>
    </row>
    <row r="35" spans="1:8" x14ac:dyDescent="0.3">
      <c r="A35" s="8" t="s">
        <v>79</v>
      </c>
      <c r="B35" s="8">
        <v>20</v>
      </c>
      <c r="C35" s="9">
        <v>0.16</v>
      </c>
      <c r="D35" s="8">
        <v>5</v>
      </c>
      <c r="E35" s="8">
        <v>0</v>
      </c>
      <c r="F35" s="8">
        <v>4</v>
      </c>
      <c r="G35" s="9">
        <v>0.04</v>
      </c>
      <c r="H35" s="9">
        <v>0</v>
      </c>
    </row>
    <row r="36" spans="1:8" x14ac:dyDescent="0.3">
      <c r="A36" s="8" t="s">
        <v>80</v>
      </c>
      <c r="B36" s="8">
        <v>40</v>
      </c>
      <c r="C36" s="9">
        <v>0.12005649717514121</v>
      </c>
      <c r="D36" s="8">
        <v>10</v>
      </c>
      <c r="E36" s="8">
        <v>0.5</v>
      </c>
      <c r="F36" s="8">
        <v>8</v>
      </c>
      <c r="G36" s="9">
        <v>0.03</v>
      </c>
      <c r="H36" s="9">
        <v>0.2</v>
      </c>
    </row>
    <row r="37" spans="1:8" x14ac:dyDescent="0.3">
      <c r="A37" s="8" t="s">
        <v>81</v>
      </c>
      <c r="B37" s="8">
        <v>60</v>
      </c>
      <c r="C37" s="9">
        <v>0.08</v>
      </c>
      <c r="D37" s="8">
        <v>15</v>
      </c>
      <c r="E37" s="8">
        <v>1</v>
      </c>
      <c r="F37" s="8">
        <v>12</v>
      </c>
      <c r="G37" s="9">
        <v>0.02</v>
      </c>
      <c r="H37" s="9">
        <v>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1"/>
  <sheetViews>
    <sheetView tabSelected="1" workbookViewId="0">
      <selection activeCell="A63" sqref="A63:G71"/>
    </sheetView>
  </sheetViews>
  <sheetFormatPr defaultRowHeight="14.4" x14ac:dyDescent="0.3"/>
  <cols>
    <col min="1" max="1" width="34.6640625" customWidth="1"/>
    <col min="2" max="2" width="21.109375" customWidth="1"/>
    <col min="3" max="8" width="14.6640625" customWidth="1"/>
  </cols>
  <sheetData>
    <row r="1" spans="1:7" x14ac:dyDescent="0.3">
      <c r="A1" s="4" t="s">
        <v>82</v>
      </c>
    </row>
    <row r="2" spans="1:7" x14ac:dyDescent="0.3">
      <c r="A2" s="4" t="s">
        <v>83</v>
      </c>
      <c r="B2" s="4">
        <v>0</v>
      </c>
      <c r="C2" s="4">
        <v>1</v>
      </c>
      <c r="D2" s="4">
        <v>2</v>
      </c>
      <c r="E2" s="4">
        <v>3</v>
      </c>
      <c r="F2" s="4">
        <v>4</v>
      </c>
      <c r="G2" s="4">
        <v>5</v>
      </c>
    </row>
    <row r="3" spans="1:7" x14ac:dyDescent="0.3">
      <c r="A3" s="1" t="s">
        <v>84</v>
      </c>
      <c r="B3" s="2">
        <v>-14333890</v>
      </c>
      <c r="C3" s="2">
        <v>1601529</v>
      </c>
      <c r="D3" s="2">
        <v>1601529</v>
      </c>
      <c r="E3" s="2">
        <v>1601529</v>
      </c>
      <c r="F3" s="2">
        <v>1601529</v>
      </c>
      <c r="G3" s="2">
        <v>1601529</v>
      </c>
    </row>
    <row r="4" spans="1:7" x14ac:dyDescent="0.3">
      <c r="A4" s="1" t="s">
        <v>73</v>
      </c>
      <c r="B4" s="3">
        <v>0.16</v>
      </c>
      <c r="C4" s="1"/>
      <c r="D4" s="1"/>
      <c r="E4" s="1"/>
      <c r="F4" s="1"/>
      <c r="G4" s="1"/>
    </row>
    <row r="5" spans="1:7" x14ac:dyDescent="0.3">
      <c r="A5" s="1" t="s">
        <v>85</v>
      </c>
      <c r="B5" s="2">
        <f>NPV(B4,C3:G3)+B3</f>
        <v>-9090013.7591455728</v>
      </c>
      <c r="C5" s="1"/>
      <c r="D5" s="1"/>
      <c r="E5" s="1"/>
      <c r="F5" s="1"/>
      <c r="G5" s="1"/>
    </row>
    <row r="6" spans="1:7" x14ac:dyDescent="0.3">
      <c r="A6" s="1" t="s">
        <v>86</v>
      </c>
      <c r="B6" s="3">
        <f>IRR(B3:G3)</f>
        <v>-0.16722707761124567</v>
      </c>
      <c r="C6" s="1"/>
      <c r="D6" s="1"/>
      <c r="E6" s="1"/>
      <c r="F6" s="1"/>
      <c r="G6" s="1"/>
    </row>
    <row r="7" spans="1:7" x14ac:dyDescent="0.3">
      <c r="A7" s="1" t="s">
        <v>87</v>
      </c>
      <c r="B7" s="2">
        <f>B3</f>
        <v>-14333890</v>
      </c>
      <c r="C7" s="2">
        <f>B7+C3</f>
        <v>-12732361</v>
      </c>
      <c r="D7" s="2">
        <f>C7+D3</f>
        <v>-11130832</v>
      </c>
      <c r="E7" s="2">
        <f>D7+E3</f>
        <v>-9529303</v>
      </c>
      <c r="F7" s="2">
        <f>E7+F3</f>
        <v>-7927774</v>
      </c>
      <c r="G7" s="2">
        <f>F7+G3</f>
        <v>-6326245</v>
      </c>
    </row>
    <row r="8" spans="1:7" x14ac:dyDescent="0.3">
      <c r="A8" s="1" t="s">
        <v>88</v>
      </c>
      <c r="B8" s="2">
        <f>B3</f>
        <v>-14333890</v>
      </c>
      <c r="C8" s="2">
        <f>B8+C3/(1+B4)^1</f>
        <v>-12953261.551724138</v>
      </c>
      <c r="D8" s="2">
        <f>C8+D3/(1+B4)^2</f>
        <v>-11763064.613555292</v>
      </c>
      <c r="E8" s="2">
        <f>D8+E3/(1+B4)^3</f>
        <v>-10737032.770306285</v>
      </c>
      <c r="F8" s="2">
        <f>E8+F3/(1+B4)^4</f>
        <v>-9852522.5606088676</v>
      </c>
      <c r="G8" s="2">
        <f>F8+G3/(1+B4)^5</f>
        <v>-9090013.7591455746</v>
      </c>
    </row>
    <row r="9" spans="1:7" x14ac:dyDescent="0.3">
      <c r="A9" s="1" t="s">
        <v>89</v>
      </c>
      <c r="B9" s="16" t="s">
        <v>90</v>
      </c>
      <c r="C9" s="1"/>
      <c r="D9" s="1"/>
      <c r="E9" s="1"/>
      <c r="F9" s="1"/>
      <c r="G9" s="1"/>
    </row>
    <row r="10" spans="1:7" x14ac:dyDescent="0.3">
      <c r="A10" s="1" t="s">
        <v>91</v>
      </c>
      <c r="B10" s="2">
        <v>103944</v>
      </c>
      <c r="C10" s="1"/>
      <c r="D10" s="1"/>
      <c r="E10" s="1"/>
      <c r="F10" s="1"/>
      <c r="G10" s="1"/>
    </row>
    <row r="11" spans="1:7" x14ac:dyDescent="0.3">
      <c r="A11" s="1" t="s">
        <v>92</v>
      </c>
      <c r="B11" s="2">
        <v>242753</v>
      </c>
      <c r="C11" s="1"/>
      <c r="D11" s="1"/>
      <c r="E11" s="1"/>
      <c r="F11" s="1"/>
      <c r="G11" s="1"/>
    </row>
    <row r="13" spans="1:7" x14ac:dyDescent="0.3">
      <c r="A13" s="4" t="s">
        <v>93</v>
      </c>
    </row>
    <row r="14" spans="1:7" x14ac:dyDescent="0.3">
      <c r="A14" s="4" t="s">
        <v>83</v>
      </c>
      <c r="B14" s="4">
        <v>0</v>
      </c>
      <c r="C14" s="4">
        <v>1</v>
      </c>
      <c r="D14" s="4">
        <v>2</v>
      </c>
      <c r="E14" s="4">
        <v>3</v>
      </c>
      <c r="F14" s="4">
        <v>4</v>
      </c>
      <c r="G14" s="4">
        <v>5</v>
      </c>
    </row>
    <row r="15" spans="1:7" x14ac:dyDescent="0.3">
      <c r="A15" s="1" t="s">
        <v>84</v>
      </c>
      <c r="B15" s="2">
        <v>-14333890</v>
      </c>
      <c r="C15" s="2">
        <v>5727421</v>
      </c>
      <c r="D15" s="2">
        <v>5727421</v>
      </c>
      <c r="E15" s="2">
        <v>5727421</v>
      </c>
      <c r="F15" s="2">
        <v>5727421</v>
      </c>
      <c r="G15" s="2">
        <v>8114199</v>
      </c>
    </row>
    <row r="16" spans="1:7" x14ac:dyDescent="0.3">
      <c r="A16" s="1" t="s">
        <v>73</v>
      </c>
      <c r="B16" s="3">
        <v>0.12005649717514121</v>
      </c>
      <c r="C16" s="1"/>
      <c r="D16" s="1"/>
      <c r="E16" s="1"/>
      <c r="F16" s="1"/>
      <c r="G16" s="1"/>
    </row>
    <row r="17" spans="1:7" x14ac:dyDescent="0.3">
      <c r="A17" s="1" t="s">
        <v>85</v>
      </c>
      <c r="B17" s="2">
        <f>NPV(B16,C15:G15)+B15</f>
        <v>7663271.9967440516</v>
      </c>
      <c r="C17" s="1"/>
      <c r="D17" s="1"/>
      <c r="E17" s="1"/>
      <c r="F17" s="1"/>
      <c r="G17" s="1"/>
    </row>
    <row r="18" spans="1:7" x14ac:dyDescent="0.3">
      <c r="A18" s="1" t="s">
        <v>86</v>
      </c>
      <c r="B18" s="3">
        <f>IRR(B15:G15)</f>
        <v>0.3089876402234164</v>
      </c>
      <c r="C18" s="1"/>
      <c r="D18" s="1"/>
      <c r="E18" s="1"/>
      <c r="F18" s="1"/>
      <c r="G18" s="1"/>
    </row>
    <row r="19" spans="1:7" x14ac:dyDescent="0.3">
      <c r="A19" s="1" t="s">
        <v>87</v>
      </c>
      <c r="B19" s="2">
        <f>B15</f>
        <v>-14333890</v>
      </c>
      <c r="C19" s="2">
        <f>B19+C15</f>
        <v>-8606469</v>
      </c>
      <c r="D19" s="2">
        <f>C19+D15</f>
        <v>-2879048</v>
      </c>
      <c r="E19" s="2">
        <f>D19+E15</f>
        <v>2848373</v>
      </c>
      <c r="F19" s="2">
        <f>E19+F15</f>
        <v>8575794</v>
      </c>
      <c r="G19" s="2">
        <f>F19+G15</f>
        <v>16689993</v>
      </c>
    </row>
    <row r="20" spans="1:7" x14ac:dyDescent="0.3">
      <c r="A20" s="1" t="s">
        <v>88</v>
      </c>
      <c r="B20" s="2">
        <f>B15</f>
        <v>-14333890</v>
      </c>
      <c r="C20" s="2">
        <f>B20+C15/(1+B16)^1</f>
        <v>-9220379.1954602785</v>
      </c>
      <c r="D20" s="2">
        <f>C20+D15/(1+B16)^2</f>
        <v>-4654974.8453794168</v>
      </c>
      <c r="E20" s="2">
        <f>D20+E15/(1+B16)^3</f>
        <v>-578926.57317607477</v>
      </c>
      <c r="F20" s="2">
        <f>E20+F15/(1+B16)^4</f>
        <v>3060218.6685893307</v>
      </c>
      <c r="G20" s="2">
        <f>F20+G15/(1+B16)^5</f>
        <v>7663271.9967440497</v>
      </c>
    </row>
    <row r="21" spans="1:7" x14ac:dyDescent="0.3">
      <c r="A21" s="1" t="s">
        <v>89</v>
      </c>
      <c r="B21" s="16" t="s">
        <v>94</v>
      </c>
      <c r="C21" s="1"/>
      <c r="D21" s="1"/>
      <c r="E21" s="1"/>
      <c r="F21" s="1"/>
      <c r="G21" s="1"/>
    </row>
    <row r="22" spans="1:7" x14ac:dyDescent="0.3">
      <c r="A22" s="1" t="s">
        <v>91</v>
      </c>
      <c r="B22" s="2">
        <v>152136</v>
      </c>
      <c r="C22" s="1"/>
      <c r="D22" s="1"/>
      <c r="E22" s="1"/>
      <c r="F22" s="1"/>
      <c r="G22" s="1"/>
    </row>
    <row r="23" spans="1:7" x14ac:dyDescent="0.3">
      <c r="A23" s="1" t="s">
        <v>92</v>
      </c>
      <c r="B23" s="2">
        <v>98982</v>
      </c>
      <c r="C23" s="1"/>
      <c r="D23" s="1"/>
      <c r="E23" s="1"/>
      <c r="F23" s="1"/>
      <c r="G23" s="1"/>
    </row>
    <row r="25" spans="1:7" x14ac:dyDescent="0.3">
      <c r="A25" s="4" t="s">
        <v>95</v>
      </c>
    </row>
    <row r="26" spans="1:7" x14ac:dyDescent="0.3">
      <c r="A26" s="4" t="s">
        <v>83</v>
      </c>
      <c r="B26" s="4">
        <v>0</v>
      </c>
      <c r="C26" s="4">
        <v>1</v>
      </c>
      <c r="D26" s="4">
        <v>2</v>
      </c>
      <c r="E26" s="4">
        <v>3</v>
      </c>
      <c r="F26" s="4">
        <v>4</v>
      </c>
      <c r="G26" s="4">
        <v>5</v>
      </c>
    </row>
    <row r="27" spans="1:7" x14ac:dyDescent="0.3">
      <c r="A27" s="1" t="s">
        <v>84</v>
      </c>
      <c r="B27" s="2">
        <v>-14333890</v>
      </c>
      <c r="C27" s="2">
        <v>10986113</v>
      </c>
      <c r="D27" s="2">
        <v>10986113</v>
      </c>
      <c r="E27" s="2">
        <v>10986113</v>
      </c>
      <c r="F27" s="2">
        <v>10986113</v>
      </c>
      <c r="G27" s="2">
        <v>15759669</v>
      </c>
    </row>
    <row r="28" spans="1:7" x14ac:dyDescent="0.3">
      <c r="A28" s="1" t="s">
        <v>73</v>
      </c>
      <c r="B28" s="3">
        <v>0.08</v>
      </c>
      <c r="C28" s="1"/>
      <c r="D28" s="1"/>
      <c r="E28" s="1"/>
      <c r="F28" s="1"/>
      <c r="G28" s="1"/>
    </row>
    <row r="29" spans="1:7" x14ac:dyDescent="0.3">
      <c r="A29" s="1" t="s">
        <v>85</v>
      </c>
      <c r="B29" s="2">
        <f>NPV(B28,C27:G27)+B27</f>
        <v>32779275.647273682</v>
      </c>
      <c r="C29" s="1"/>
      <c r="D29" s="1"/>
      <c r="E29" s="1"/>
      <c r="F29" s="1"/>
      <c r="G29" s="1"/>
    </row>
    <row r="30" spans="1:7" x14ac:dyDescent="0.3">
      <c r="A30" s="1" t="s">
        <v>86</v>
      </c>
      <c r="B30" s="3">
        <f>IRR(B27:G27)</f>
        <v>0.73303068498701007</v>
      </c>
      <c r="C30" s="1"/>
      <c r="D30" s="1"/>
      <c r="E30" s="1"/>
      <c r="F30" s="1"/>
      <c r="G30" s="1"/>
    </row>
    <row r="31" spans="1:7" x14ac:dyDescent="0.3">
      <c r="A31" s="1" t="s">
        <v>87</v>
      </c>
      <c r="B31" s="2">
        <f>B27</f>
        <v>-14333890</v>
      </c>
      <c r="C31" s="2">
        <f>B31+C27</f>
        <v>-3347777</v>
      </c>
      <c r="D31" s="2">
        <f>C31+D27</f>
        <v>7638336</v>
      </c>
      <c r="E31" s="2">
        <f>D31+E27</f>
        <v>18624449</v>
      </c>
      <c r="F31" s="2">
        <f>E31+F27</f>
        <v>29610562</v>
      </c>
      <c r="G31" s="2">
        <f>F31+G27</f>
        <v>45370231</v>
      </c>
    </row>
    <row r="32" spans="1:7" x14ac:dyDescent="0.3">
      <c r="A32" s="1" t="s">
        <v>88</v>
      </c>
      <c r="B32" s="2">
        <f>B27</f>
        <v>-14333890</v>
      </c>
      <c r="C32" s="2">
        <f>B32+C27/(1+B28)^1</f>
        <v>-4161563.1481481493</v>
      </c>
      <c r="D32" s="2">
        <f>C32+D27/(1+B28)^2</f>
        <v>5257258.0109739341</v>
      </c>
      <c r="E32" s="2">
        <f>D32+E27/(1+B28)^3</f>
        <v>13978388.713864753</v>
      </c>
      <c r="F32" s="2">
        <f>E32+F27/(1+B28)^4</f>
        <v>22053509.735059954</v>
      </c>
      <c r="G32" s="2">
        <f>F32+G27/(1+B28)^5</f>
        <v>32779275.647273682</v>
      </c>
    </row>
    <row r="33" spans="1:7" x14ac:dyDescent="0.3">
      <c r="A33" s="1" t="s">
        <v>89</v>
      </c>
      <c r="B33" s="16" t="s">
        <v>96</v>
      </c>
      <c r="C33" s="1"/>
      <c r="D33" s="1"/>
      <c r="E33" s="1"/>
      <c r="F33" s="1"/>
      <c r="G33" s="1"/>
    </row>
    <row r="34" spans="1:7" x14ac:dyDescent="0.3">
      <c r="A34" s="1" t="s">
        <v>91</v>
      </c>
      <c r="B34" s="2">
        <v>187080</v>
      </c>
      <c r="C34" s="1"/>
      <c r="D34" s="1"/>
      <c r="E34" s="1"/>
      <c r="F34" s="1"/>
      <c r="G34" s="1"/>
    </row>
    <row r="35" spans="1:7" x14ac:dyDescent="0.3">
      <c r="A35" s="1" t="s">
        <v>92</v>
      </c>
      <c r="B35" s="2">
        <v>50250</v>
      </c>
      <c r="C35" s="1"/>
      <c r="D35" s="1"/>
      <c r="E35" s="1"/>
      <c r="F35" s="1"/>
      <c r="G35" s="1"/>
    </row>
    <row r="37" spans="1:7" x14ac:dyDescent="0.3">
      <c r="A37" s="4" t="s">
        <v>97</v>
      </c>
    </row>
    <row r="38" spans="1:7" x14ac:dyDescent="0.3">
      <c r="A38" s="4" t="s">
        <v>83</v>
      </c>
      <c r="B38" s="4">
        <v>0</v>
      </c>
      <c r="C38" s="4">
        <v>1</v>
      </c>
      <c r="D38" s="4">
        <v>2</v>
      </c>
      <c r="E38" s="4">
        <v>3</v>
      </c>
      <c r="F38" s="4">
        <v>4</v>
      </c>
      <c r="G38" s="4">
        <v>5</v>
      </c>
    </row>
    <row r="39" spans="1:7" x14ac:dyDescent="0.3">
      <c r="A39" s="1" t="s">
        <v>84</v>
      </c>
      <c r="B39" s="17">
        <v>-9475713</v>
      </c>
      <c r="C39" s="2">
        <v>1795856</v>
      </c>
      <c r="D39" s="2">
        <v>1795856</v>
      </c>
      <c r="E39" s="2">
        <v>1795856</v>
      </c>
      <c r="F39" s="2">
        <v>1795856</v>
      </c>
      <c r="G39" s="2">
        <v>1795856</v>
      </c>
    </row>
    <row r="40" spans="1:7" x14ac:dyDescent="0.3">
      <c r="A40" s="1" t="s">
        <v>73</v>
      </c>
      <c r="B40" s="18">
        <v>0.16</v>
      </c>
      <c r="C40" s="1"/>
      <c r="D40" s="1"/>
      <c r="E40" s="1"/>
      <c r="F40" s="1"/>
      <c r="G40" s="1"/>
    </row>
    <row r="41" spans="1:7" x14ac:dyDescent="0.3">
      <c r="A41" s="1" t="s">
        <v>85</v>
      </c>
      <c r="B41" s="17">
        <f>NPV(B40,C39:G39)+B39</f>
        <v>-3595553.0963105466</v>
      </c>
      <c r="C41" s="1"/>
      <c r="D41" s="1"/>
      <c r="E41" s="1"/>
      <c r="F41" s="1"/>
      <c r="G41" s="1"/>
    </row>
    <row r="42" spans="1:7" x14ac:dyDescent="0.3">
      <c r="A42" s="1" t="s">
        <v>86</v>
      </c>
      <c r="B42" s="18">
        <f>IRR(B39:G39)</f>
        <v>-1.7673413413151318E-2</v>
      </c>
      <c r="C42" s="1"/>
      <c r="D42" s="1"/>
      <c r="E42" s="1"/>
      <c r="F42" s="1"/>
      <c r="G42" s="1"/>
    </row>
    <row r="43" spans="1:7" x14ac:dyDescent="0.3">
      <c r="A43" s="1" t="s">
        <v>87</v>
      </c>
      <c r="B43" s="17">
        <f>B39</f>
        <v>-9475713</v>
      </c>
      <c r="C43" s="2">
        <f>B43+C39</f>
        <v>-7679857</v>
      </c>
      <c r="D43" s="2">
        <f>C43+D39</f>
        <v>-5884001</v>
      </c>
      <c r="E43" s="2">
        <f>D43+E39</f>
        <v>-4088145</v>
      </c>
      <c r="F43" s="2">
        <f>E43+F39</f>
        <v>-2292289</v>
      </c>
      <c r="G43" s="2">
        <f>F43+G39</f>
        <v>-496433</v>
      </c>
    </row>
    <row r="44" spans="1:7" x14ac:dyDescent="0.3">
      <c r="A44" s="1" t="s">
        <v>88</v>
      </c>
      <c r="B44" s="17">
        <f>B39</f>
        <v>-9475713</v>
      </c>
      <c r="C44" s="2">
        <f>B44+C39/(1+B40)^1</f>
        <v>-7927561.2758620689</v>
      </c>
      <c r="D44" s="2">
        <f>C44+D39/(1+B40)^2</f>
        <v>-6592947.7205707487</v>
      </c>
      <c r="E44" s="2">
        <f>D44+E39/(1+B40)^3</f>
        <v>-5442418.7935954724</v>
      </c>
      <c r="F44" s="2">
        <f>E44+F39/(1+B40)^4</f>
        <v>-4450583.5117202345</v>
      </c>
      <c r="G44" s="2">
        <f>F44+G39/(1+B40)^5</f>
        <v>-3595553.0963105466</v>
      </c>
    </row>
    <row r="45" spans="1:7" x14ac:dyDescent="0.3">
      <c r="A45" s="1" t="s">
        <v>89</v>
      </c>
      <c r="B45" s="16" t="s">
        <v>90</v>
      </c>
      <c r="C45" s="1"/>
      <c r="D45" s="1"/>
      <c r="E45" s="1"/>
      <c r="F45" s="1"/>
      <c r="G45" s="1"/>
    </row>
    <row r="46" spans="1:7" x14ac:dyDescent="0.3">
      <c r="A46" s="1" t="s">
        <v>91</v>
      </c>
      <c r="B46" s="17">
        <v>103944</v>
      </c>
      <c r="C46" s="1"/>
      <c r="D46" s="1"/>
      <c r="E46" s="1"/>
      <c r="F46" s="1"/>
      <c r="G46" s="1"/>
    </row>
    <row r="47" spans="1:7" x14ac:dyDescent="0.3">
      <c r="A47" s="1" t="s">
        <v>92</v>
      </c>
      <c r="B47" s="17">
        <v>158850</v>
      </c>
      <c r="C47" s="1"/>
      <c r="D47" s="1"/>
      <c r="E47" s="1"/>
      <c r="F47" s="1"/>
      <c r="G47" s="1"/>
    </row>
    <row r="48" spans="1:7" x14ac:dyDescent="0.3">
      <c r="B48" s="10"/>
    </row>
    <row r="49" spans="1:7" x14ac:dyDescent="0.3">
      <c r="A49" s="4" t="s">
        <v>98</v>
      </c>
      <c r="B49" s="10"/>
    </row>
    <row r="50" spans="1:7" x14ac:dyDescent="0.3">
      <c r="A50" s="4" t="s">
        <v>83</v>
      </c>
      <c r="B50" s="13">
        <v>0</v>
      </c>
      <c r="C50" s="4">
        <v>1</v>
      </c>
      <c r="D50" s="4">
        <v>2</v>
      </c>
      <c r="E50" s="4">
        <v>3</v>
      </c>
      <c r="F50" s="4">
        <v>4</v>
      </c>
      <c r="G50" s="4">
        <v>5</v>
      </c>
    </row>
    <row r="51" spans="1:7" x14ac:dyDescent="0.3">
      <c r="A51" s="1" t="s">
        <v>84</v>
      </c>
      <c r="B51" s="17">
        <v>-9475713</v>
      </c>
      <c r="C51" s="2">
        <v>5873167</v>
      </c>
      <c r="D51" s="2">
        <v>5873167</v>
      </c>
      <c r="E51" s="2">
        <v>5873167</v>
      </c>
      <c r="F51" s="2">
        <v>5873167</v>
      </c>
      <c r="G51" s="2">
        <v>7288309</v>
      </c>
    </row>
    <row r="52" spans="1:7" x14ac:dyDescent="0.3">
      <c r="A52" s="1" t="s">
        <v>73</v>
      </c>
      <c r="B52" s="18">
        <v>0.12005649717514121</v>
      </c>
      <c r="C52" s="1"/>
      <c r="D52" s="1"/>
      <c r="E52" s="1"/>
      <c r="F52" s="1"/>
      <c r="G52" s="1"/>
    </row>
    <row r="53" spans="1:7" x14ac:dyDescent="0.3">
      <c r="A53" s="1" t="s">
        <v>85</v>
      </c>
      <c r="B53" s="17">
        <f>NPV(B52,C51:G51)+B51</f>
        <v>12495563.859658938</v>
      </c>
      <c r="C53" s="1"/>
      <c r="D53" s="1"/>
      <c r="E53" s="1"/>
      <c r="F53" s="1"/>
      <c r="G53" s="1"/>
    </row>
    <row r="54" spans="1:7" x14ac:dyDescent="0.3">
      <c r="A54" s="1" t="s">
        <v>86</v>
      </c>
      <c r="B54" s="18">
        <f>IRR(B51:G51)</f>
        <v>0.56222601041609654</v>
      </c>
      <c r="C54" s="1"/>
      <c r="D54" s="1"/>
      <c r="E54" s="1"/>
      <c r="F54" s="1"/>
      <c r="G54" s="1"/>
    </row>
    <row r="55" spans="1:7" x14ac:dyDescent="0.3">
      <c r="A55" s="1" t="s">
        <v>87</v>
      </c>
      <c r="B55" s="17">
        <f>B51</f>
        <v>-9475713</v>
      </c>
      <c r="C55" s="2">
        <f>B55+C51</f>
        <v>-3602546</v>
      </c>
      <c r="D55" s="2">
        <f>C55+D51</f>
        <v>2270621</v>
      </c>
      <c r="E55" s="2">
        <f>D55+E51</f>
        <v>8143788</v>
      </c>
      <c r="F55" s="2">
        <f>E55+F51</f>
        <v>14016955</v>
      </c>
      <c r="G55" s="2">
        <f>F55+G51</f>
        <v>21305264</v>
      </c>
    </row>
    <row r="56" spans="1:7" x14ac:dyDescent="0.3">
      <c r="A56" s="1" t="s">
        <v>88</v>
      </c>
      <c r="B56" s="17">
        <f>B51</f>
        <v>-9475713</v>
      </c>
      <c r="C56" s="2">
        <f>B56+C51/(1+B52)^1</f>
        <v>-4232078.4022698607</v>
      </c>
      <c r="D56" s="2">
        <f>C56+D51/(1+B52)^2</f>
        <v>449502.0456405282</v>
      </c>
      <c r="E56" s="2">
        <f>D56+E51/(1+B52)^3</f>
        <v>4629273.7444054149</v>
      </c>
      <c r="F56" s="2">
        <f>E56+F51/(1+B52)^4</f>
        <v>8361024.5170731824</v>
      </c>
      <c r="G56" s="2">
        <f>F56+G51/(1+B52)^5</f>
        <v>12495563.859658938</v>
      </c>
    </row>
    <row r="57" spans="1:7" x14ac:dyDescent="0.3">
      <c r="A57" s="1" t="s">
        <v>89</v>
      </c>
      <c r="B57" s="16" t="s">
        <v>99</v>
      </c>
      <c r="C57" s="1"/>
      <c r="D57" s="1"/>
      <c r="E57" s="1"/>
      <c r="F57" s="1"/>
      <c r="G57" s="1"/>
    </row>
    <row r="58" spans="1:7" x14ac:dyDescent="0.3">
      <c r="A58" s="1" t="s">
        <v>91</v>
      </c>
      <c r="B58" s="17">
        <v>152136</v>
      </c>
      <c r="C58" s="1"/>
      <c r="D58" s="1"/>
      <c r="E58" s="1"/>
      <c r="F58" s="1"/>
      <c r="G58" s="1"/>
    </row>
    <row r="59" spans="1:7" x14ac:dyDescent="0.3">
      <c r="A59" s="1" t="s">
        <v>92</v>
      </c>
      <c r="B59" s="17">
        <v>65464</v>
      </c>
      <c r="C59" s="1"/>
      <c r="D59" s="1"/>
      <c r="E59" s="1"/>
      <c r="F59" s="1"/>
      <c r="G59" s="1"/>
    </row>
    <row r="60" spans="1:7" x14ac:dyDescent="0.3">
      <c r="B60" s="10"/>
    </row>
    <row r="61" spans="1:7" x14ac:dyDescent="0.3">
      <c r="A61" s="4" t="s">
        <v>100</v>
      </c>
      <c r="B61" s="10"/>
    </row>
    <row r="62" spans="1:7" x14ac:dyDescent="0.3">
      <c r="A62" s="4" t="s">
        <v>83</v>
      </c>
      <c r="B62" s="13">
        <v>0</v>
      </c>
      <c r="C62" s="4">
        <v>1</v>
      </c>
      <c r="D62" s="4">
        <v>2</v>
      </c>
      <c r="E62" s="4">
        <v>3</v>
      </c>
      <c r="F62" s="4">
        <v>4</v>
      </c>
      <c r="G62" s="4">
        <v>5</v>
      </c>
    </row>
    <row r="63" spans="1:7" x14ac:dyDescent="0.3">
      <c r="A63" s="1" t="s">
        <v>84</v>
      </c>
      <c r="B63" s="17">
        <v>-9475713</v>
      </c>
      <c r="C63" s="2">
        <v>11083277</v>
      </c>
      <c r="D63" s="2">
        <v>11083277</v>
      </c>
      <c r="E63" s="2">
        <v>11083277</v>
      </c>
      <c r="F63" s="2">
        <v>11083277</v>
      </c>
      <c r="G63" s="2">
        <v>13913562</v>
      </c>
    </row>
    <row r="64" spans="1:7" x14ac:dyDescent="0.3">
      <c r="A64" s="1" t="s">
        <v>73</v>
      </c>
      <c r="B64" s="18">
        <v>0.08</v>
      </c>
      <c r="C64" s="1"/>
      <c r="D64" s="1"/>
      <c r="E64" s="1"/>
      <c r="F64" s="1"/>
      <c r="G64" s="1"/>
    </row>
    <row r="65" spans="1:7" x14ac:dyDescent="0.3">
      <c r="A65" s="1" t="s">
        <v>85</v>
      </c>
      <c r="B65" s="17">
        <f>NPV(B64,C63:G63)+B63</f>
        <v>36702842.735433362</v>
      </c>
      <c r="C65" s="1"/>
      <c r="D65" s="1"/>
      <c r="E65" s="1"/>
      <c r="F65" s="1"/>
      <c r="G65" s="1"/>
    </row>
    <row r="66" spans="1:7" x14ac:dyDescent="0.3">
      <c r="A66" s="1" t="s">
        <v>86</v>
      </c>
      <c r="B66" s="18">
        <f>IRR(B63:G63)</f>
        <v>1.1517520303779598</v>
      </c>
      <c r="C66" s="1"/>
      <c r="D66" s="1"/>
      <c r="E66" s="1"/>
      <c r="F66" s="1"/>
      <c r="G66" s="1"/>
    </row>
    <row r="67" spans="1:7" x14ac:dyDescent="0.3">
      <c r="A67" s="1" t="s">
        <v>87</v>
      </c>
      <c r="B67" s="17">
        <f>B63</f>
        <v>-9475713</v>
      </c>
      <c r="C67" s="2">
        <f>B67+C63</f>
        <v>1607564</v>
      </c>
      <c r="D67" s="2">
        <f>C67+D63</f>
        <v>12690841</v>
      </c>
      <c r="E67" s="2">
        <f>D67+E63</f>
        <v>23774118</v>
      </c>
      <c r="F67" s="2">
        <f>E67+F63</f>
        <v>34857395</v>
      </c>
      <c r="G67" s="2">
        <f>F67+G63</f>
        <v>48770957</v>
      </c>
    </row>
    <row r="68" spans="1:7" x14ac:dyDescent="0.3">
      <c r="A68" s="1" t="s">
        <v>88</v>
      </c>
      <c r="B68" s="17">
        <f>B63</f>
        <v>-9475713</v>
      </c>
      <c r="C68" s="2">
        <f>B68+C63/(1+B64)^1</f>
        <v>786580.51851851866</v>
      </c>
      <c r="D68" s="2">
        <f>C68+D63/(1+B64)^2</f>
        <v>10288704.146776406</v>
      </c>
      <c r="E68" s="2">
        <f>D68+E63/(1+B64)^3</f>
        <v>19086966.765533708</v>
      </c>
      <c r="F68" s="2">
        <f>E68+F63/(1+B64)^4</f>
        <v>27233506.227346025</v>
      </c>
      <c r="G68" s="2">
        <f>F68+G63/(1+B64)^5</f>
        <v>36702842.735433362</v>
      </c>
    </row>
    <row r="69" spans="1:7" x14ac:dyDescent="0.3">
      <c r="A69" s="1" t="s">
        <v>89</v>
      </c>
      <c r="B69" s="16" t="s">
        <v>101</v>
      </c>
      <c r="C69" s="1"/>
      <c r="D69" s="1"/>
      <c r="E69" s="1"/>
      <c r="F69" s="1"/>
      <c r="G69" s="1"/>
    </row>
    <row r="70" spans="1:7" x14ac:dyDescent="0.3">
      <c r="A70" s="1" t="s">
        <v>91</v>
      </c>
      <c r="B70" s="2">
        <v>187080</v>
      </c>
      <c r="C70" s="1"/>
      <c r="D70" s="1"/>
      <c r="E70" s="1"/>
      <c r="F70" s="1"/>
      <c r="G70" s="1"/>
    </row>
    <row r="71" spans="1:7" x14ac:dyDescent="0.3">
      <c r="A71" s="1" t="s">
        <v>92</v>
      </c>
      <c r="B71" s="2">
        <v>33872</v>
      </c>
      <c r="C71" s="1"/>
      <c r="D71" s="1"/>
      <c r="E71" s="1"/>
      <c r="F71" s="1"/>
      <c r="G71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1"/>
  <sheetViews>
    <sheetView workbookViewId="0">
      <selection activeCell="D35" sqref="D35"/>
    </sheetView>
  </sheetViews>
  <sheetFormatPr defaultRowHeight="14.4" x14ac:dyDescent="0.3"/>
  <cols>
    <col min="1" max="1" width="22.6640625" customWidth="1"/>
    <col min="2" max="2" width="95.6640625" customWidth="1"/>
    <col min="3" max="4" width="14.6640625" customWidth="1"/>
  </cols>
  <sheetData>
    <row r="1" spans="1:4" x14ac:dyDescent="0.3">
      <c r="A1" s="4" t="s">
        <v>102</v>
      </c>
      <c r="B1" s="4" t="s">
        <v>103</v>
      </c>
      <c r="C1" s="4" t="s">
        <v>104</v>
      </c>
      <c r="D1" s="4" t="s">
        <v>71</v>
      </c>
    </row>
    <row r="2" spans="1:4" x14ac:dyDescent="0.3">
      <c r="A2" s="1" t="s">
        <v>105</v>
      </c>
      <c r="B2" s="1" t="s">
        <v>106</v>
      </c>
      <c r="C2" s="2">
        <v>4124213</v>
      </c>
      <c r="D2" s="1" t="s">
        <v>107</v>
      </c>
    </row>
    <row r="3" spans="1:4" x14ac:dyDescent="0.3">
      <c r="A3" s="1" t="s">
        <v>108</v>
      </c>
      <c r="B3" s="1" t="s">
        <v>109</v>
      </c>
      <c r="C3" s="2">
        <v>250634</v>
      </c>
      <c r="D3" s="1" t="s">
        <v>107</v>
      </c>
    </row>
    <row r="4" spans="1:4" x14ac:dyDescent="0.3">
      <c r="A4" s="1" t="s">
        <v>110</v>
      </c>
      <c r="B4" s="1" t="s">
        <v>111</v>
      </c>
      <c r="C4" s="2">
        <v>802156</v>
      </c>
      <c r="D4" s="1" t="s">
        <v>107</v>
      </c>
    </row>
    <row r="5" spans="1:4" x14ac:dyDescent="0.3">
      <c r="A5" s="1" t="s">
        <v>112</v>
      </c>
      <c r="B5" s="1" t="s">
        <v>113</v>
      </c>
      <c r="C5" s="2">
        <v>1188042</v>
      </c>
      <c r="D5" s="1" t="s">
        <v>107</v>
      </c>
    </row>
    <row r="6" spans="1:4" x14ac:dyDescent="0.3">
      <c r="A6" s="1" t="s">
        <v>114</v>
      </c>
      <c r="B6" s="1" t="s">
        <v>115</v>
      </c>
      <c r="C6" s="2">
        <v>3248117</v>
      </c>
      <c r="D6" s="1" t="s">
        <v>107</v>
      </c>
    </row>
    <row r="7" spans="1:4" x14ac:dyDescent="0.3">
      <c r="A7" s="1" t="s">
        <v>116</v>
      </c>
      <c r="B7" s="1" t="s">
        <v>117</v>
      </c>
      <c r="C7" s="2">
        <v>1117016</v>
      </c>
      <c r="D7" s="1" t="s">
        <v>107</v>
      </c>
    </row>
    <row r="8" spans="1:4" x14ac:dyDescent="0.3">
      <c r="A8" s="1" t="s">
        <v>118</v>
      </c>
      <c r="B8" s="1" t="s">
        <v>119</v>
      </c>
      <c r="C8" s="2">
        <v>1203712</v>
      </c>
      <c r="D8" s="1" t="s">
        <v>107</v>
      </c>
    </row>
    <row r="9" spans="1:4" x14ac:dyDescent="0.3">
      <c r="A9" s="1" t="s">
        <v>120</v>
      </c>
      <c r="B9" s="1" t="s">
        <v>121</v>
      </c>
      <c r="C9" s="2">
        <v>2400000</v>
      </c>
      <c r="D9" s="1" t="s">
        <v>107</v>
      </c>
    </row>
    <row r="10" spans="1:4" x14ac:dyDescent="0.3">
      <c r="A10" s="1" t="s">
        <v>122</v>
      </c>
      <c r="B10" s="1" t="s">
        <v>123</v>
      </c>
      <c r="C10" s="2">
        <v>2494370</v>
      </c>
      <c r="D10" s="1" t="s">
        <v>124</v>
      </c>
    </row>
    <row r="11" spans="1:4" x14ac:dyDescent="0.3">
      <c r="B11" s="4" t="s">
        <v>125</v>
      </c>
      <c r="C11" s="2">
        <f>SUMIF(D2:D10,"A",C2:C10)</f>
        <v>14333890</v>
      </c>
    </row>
    <row r="12" spans="1:4" x14ac:dyDescent="0.3">
      <c r="B12" s="4" t="s">
        <v>126</v>
      </c>
      <c r="C12" s="2">
        <f>C11+SUMIF(D2:D10,"B",C2:C10)</f>
        <v>16828260</v>
      </c>
    </row>
    <row r="13" spans="1:4" x14ac:dyDescent="0.3">
      <c r="B13" s="4" t="s">
        <v>128</v>
      </c>
      <c r="C13" s="2">
        <v>7352547</v>
      </c>
    </row>
    <row r="14" spans="1:4" x14ac:dyDescent="0.3">
      <c r="B14" s="4" t="s">
        <v>129</v>
      </c>
      <c r="C14" s="2">
        <f>C12-C13</f>
        <v>9475713</v>
      </c>
    </row>
    <row r="15" spans="1:4" x14ac:dyDescent="0.3">
      <c r="B15" s="11"/>
      <c r="C15" s="12"/>
    </row>
    <row r="16" spans="1:4" x14ac:dyDescent="0.3">
      <c r="B16" s="1" t="s">
        <v>138</v>
      </c>
      <c r="C16" s="1"/>
    </row>
    <row r="17" spans="2:3" x14ac:dyDescent="0.3">
      <c r="B17" s="1" t="s">
        <v>139</v>
      </c>
      <c r="C17" s="1">
        <v>6.13</v>
      </c>
    </row>
    <row r="18" spans="2:3" x14ac:dyDescent="0.3">
      <c r="B18" s="1" t="s">
        <v>140</v>
      </c>
      <c r="C18" s="1">
        <v>9.3000000000000007</v>
      </c>
    </row>
    <row r="19" spans="2:3" x14ac:dyDescent="0.3">
      <c r="B19" s="1" t="s">
        <v>141</v>
      </c>
      <c r="C19" s="1">
        <v>12.47</v>
      </c>
    </row>
    <row r="21" spans="2:3" x14ac:dyDescent="0.3">
      <c r="B21" s="20" t="s">
        <v>127</v>
      </c>
      <c r="C21" s="20"/>
    </row>
    <row r="22" spans="2:3" x14ac:dyDescent="0.3">
      <c r="B22" s="20"/>
      <c r="C22" s="20"/>
    </row>
    <row r="24" spans="2:3" x14ac:dyDescent="0.3">
      <c r="B24" s="4" t="s">
        <v>130</v>
      </c>
      <c r="C24" s="14"/>
    </row>
    <row r="25" spans="2:3" x14ac:dyDescent="0.3">
      <c r="B25" s="1" t="s">
        <v>131</v>
      </c>
      <c r="C25" s="2">
        <v>2494370</v>
      </c>
    </row>
    <row r="26" spans="2:3" x14ac:dyDescent="0.3">
      <c r="B26" s="1" t="s">
        <v>132</v>
      </c>
      <c r="C26" s="2">
        <v>1014882</v>
      </c>
    </row>
    <row r="27" spans="2:3" x14ac:dyDescent="0.3">
      <c r="B27" s="1" t="s">
        <v>133</v>
      </c>
      <c r="C27" s="2">
        <v>2331231</v>
      </c>
    </row>
    <row r="28" spans="2:3" x14ac:dyDescent="0.3">
      <c r="B28" s="1" t="s">
        <v>134</v>
      </c>
      <c r="C28" s="2">
        <v>52000</v>
      </c>
    </row>
    <row r="29" spans="2:3" x14ac:dyDescent="0.3">
      <c r="B29" s="1" t="s">
        <v>135</v>
      </c>
      <c r="C29" s="2">
        <v>100652</v>
      </c>
    </row>
    <row r="30" spans="2:3" x14ac:dyDescent="0.3">
      <c r="B30" s="1" t="s">
        <v>136</v>
      </c>
      <c r="C30" s="2">
        <v>1203712</v>
      </c>
    </row>
    <row r="31" spans="2:3" x14ac:dyDescent="0.3">
      <c r="B31" s="1" t="s">
        <v>137</v>
      </c>
      <c r="C31" s="2">
        <v>155700</v>
      </c>
    </row>
  </sheetData>
  <mergeCells count="1">
    <mergeCell ref="B21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>
      <selection activeCell="A4" sqref="A4:I6"/>
    </sheetView>
  </sheetViews>
  <sheetFormatPr defaultRowHeight="14.4" x14ac:dyDescent="0.3"/>
  <cols>
    <col min="1" max="1" width="16.6640625" customWidth="1"/>
    <col min="2" max="11" width="14.6640625" customWidth="1"/>
  </cols>
  <sheetData>
    <row r="1" spans="1:11" x14ac:dyDescent="0.3">
      <c r="A1" s="21" t="s">
        <v>185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3" spans="1:11" x14ac:dyDescent="0.3">
      <c r="A3" s="4" t="s">
        <v>71</v>
      </c>
      <c r="B3" s="4" t="s">
        <v>72</v>
      </c>
      <c r="C3" s="4" t="s">
        <v>142</v>
      </c>
      <c r="D3" s="4" t="s">
        <v>143</v>
      </c>
      <c r="E3" s="4" t="s">
        <v>144</v>
      </c>
      <c r="F3" s="4" t="s">
        <v>145</v>
      </c>
      <c r="G3" s="4" t="s">
        <v>146</v>
      </c>
      <c r="H3" s="4" t="s">
        <v>147</v>
      </c>
      <c r="I3" s="4" t="s">
        <v>148</v>
      </c>
    </row>
    <row r="4" spans="1:11" x14ac:dyDescent="0.3">
      <c r="A4" s="1" t="s">
        <v>79</v>
      </c>
      <c r="B4" s="1">
        <v>20</v>
      </c>
      <c r="C4" s="2">
        <v>-80684</v>
      </c>
      <c r="D4" s="3">
        <v>0.16</v>
      </c>
      <c r="E4" s="2">
        <v>-24001624</v>
      </c>
      <c r="F4" s="1" t="s">
        <v>149</v>
      </c>
      <c r="G4" s="2">
        <v>-16828260</v>
      </c>
      <c r="H4" s="2">
        <v>-2190813</v>
      </c>
      <c r="I4" s="2">
        <v>-2190813</v>
      </c>
    </row>
    <row r="5" spans="1:11" x14ac:dyDescent="0.3">
      <c r="A5" s="1" t="s">
        <v>80</v>
      </c>
      <c r="B5" s="1">
        <v>40</v>
      </c>
      <c r="C5" s="2">
        <v>-29991</v>
      </c>
      <c r="D5" s="3">
        <v>0.12005649717514121</v>
      </c>
      <c r="E5" s="2">
        <v>-21075242</v>
      </c>
      <c r="F5" s="3">
        <v>-0.59679102146947094</v>
      </c>
      <c r="G5" s="2">
        <v>-16828260</v>
      </c>
      <c r="H5" s="2">
        <v>-1632498</v>
      </c>
      <c r="I5" s="2">
        <v>1253154</v>
      </c>
    </row>
    <row r="6" spans="1:11" x14ac:dyDescent="0.3">
      <c r="A6" s="1" t="s">
        <v>81</v>
      </c>
      <c r="B6" s="1">
        <v>60</v>
      </c>
      <c r="C6" s="2">
        <v>7543</v>
      </c>
      <c r="D6" s="3">
        <v>0.08</v>
      </c>
      <c r="E6" s="2">
        <v>-12245648</v>
      </c>
      <c r="F6" s="3">
        <v>-0.17715734095653629</v>
      </c>
      <c r="G6" s="2">
        <v>-16828260</v>
      </c>
      <c r="H6" s="2">
        <v>163989</v>
      </c>
      <c r="I6" s="2">
        <v>5935293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"/>
  <sheetViews>
    <sheetView workbookViewId="0">
      <selection activeCell="B2" sqref="A1:B2"/>
    </sheetView>
  </sheetViews>
  <sheetFormatPr defaultRowHeight="14.4" x14ac:dyDescent="0.3"/>
  <cols>
    <col min="1" max="1" width="43.21875" customWidth="1"/>
    <col min="2" max="7" width="14.6640625" customWidth="1"/>
  </cols>
  <sheetData>
    <row r="1" spans="1:7" x14ac:dyDescent="0.3">
      <c r="A1" s="1" t="s">
        <v>150</v>
      </c>
      <c r="B1" s="1">
        <v>22.99836354166813</v>
      </c>
    </row>
    <row r="2" spans="1:7" x14ac:dyDescent="0.3">
      <c r="A2" s="1" t="s">
        <v>151</v>
      </c>
      <c r="B2" s="1">
        <v>13.287111111110359</v>
      </c>
    </row>
    <row r="4" spans="1:7" x14ac:dyDescent="0.3">
      <c r="A4" s="4" t="s">
        <v>152</v>
      </c>
      <c r="B4" s="4" t="s">
        <v>153</v>
      </c>
      <c r="C4" s="4" t="s">
        <v>72</v>
      </c>
      <c r="D4" s="4" t="s">
        <v>154</v>
      </c>
      <c r="E4" s="4" t="s">
        <v>155</v>
      </c>
      <c r="F4" s="4" t="s">
        <v>156</v>
      </c>
      <c r="G4" s="4" t="s">
        <v>157</v>
      </c>
    </row>
    <row r="5" spans="1:7" x14ac:dyDescent="0.3">
      <c r="A5" s="2">
        <v>1144.3471999999999</v>
      </c>
      <c r="B5" s="2">
        <v>26318.11292349</v>
      </c>
      <c r="C5" s="2">
        <v>20</v>
      </c>
      <c r="D5" s="2">
        <v>526362.25846980012</v>
      </c>
      <c r="E5" s="2">
        <v>2101611.8725314601</v>
      </c>
      <c r="F5" s="2">
        <v>1897152.607900783</v>
      </c>
      <c r="G5" s="2">
        <v>1723464.6024344619</v>
      </c>
    </row>
    <row r="6" spans="1:7" x14ac:dyDescent="0.3">
      <c r="A6" s="2">
        <v>1144.3471999999999</v>
      </c>
      <c r="B6" s="2">
        <v>26318.11292349</v>
      </c>
      <c r="C6" s="2">
        <v>40</v>
      </c>
      <c r="D6" s="2">
        <v>1052724.5169396</v>
      </c>
      <c r="E6" s="2">
        <v>4203223.7450629203</v>
      </c>
      <c r="F6" s="2">
        <v>3794305.2158015668</v>
      </c>
      <c r="G6" s="2">
        <v>3446929.2048689239</v>
      </c>
    </row>
    <row r="7" spans="1:7" x14ac:dyDescent="0.3">
      <c r="A7" s="2">
        <v>1144.3471999999999</v>
      </c>
      <c r="B7" s="2">
        <v>26318.11292349</v>
      </c>
      <c r="C7" s="2">
        <v>60</v>
      </c>
      <c r="D7" s="2">
        <v>1579086.7754094</v>
      </c>
      <c r="E7" s="2">
        <v>6304835.6175943799</v>
      </c>
      <c r="F7" s="2">
        <v>5691457.8237023503</v>
      </c>
      <c r="G7" s="2">
        <v>5170393.8073033849</v>
      </c>
    </row>
    <row r="8" spans="1:7" x14ac:dyDescent="0.3">
      <c r="A8" s="2">
        <v>953.62270000000001</v>
      </c>
      <c r="B8" s="2">
        <v>21931.761536187121</v>
      </c>
      <c r="C8" s="2">
        <v>20</v>
      </c>
      <c r="D8" s="2">
        <v>438635.2307237424</v>
      </c>
      <c r="E8" s="2">
        <v>1751343.2883267479</v>
      </c>
      <c r="F8" s="2">
        <v>1580960.561845554</v>
      </c>
      <c r="G8" s="2">
        <v>1436220.5522309821</v>
      </c>
    </row>
    <row r="9" spans="1:7" x14ac:dyDescent="0.3">
      <c r="A9" s="2">
        <v>953.62270000000001</v>
      </c>
      <c r="B9" s="2">
        <v>21931.761536187121</v>
      </c>
      <c r="C9" s="2">
        <v>40</v>
      </c>
      <c r="D9" s="2">
        <v>877270.46144748479</v>
      </c>
      <c r="E9" s="2">
        <v>3502686.576653495</v>
      </c>
      <c r="F9" s="2">
        <v>3161921.1236911071</v>
      </c>
      <c r="G9" s="2">
        <v>2872441.1044619642</v>
      </c>
    </row>
    <row r="10" spans="1:7" x14ac:dyDescent="0.3">
      <c r="A10" s="2">
        <v>953.62270000000001</v>
      </c>
      <c r="B10" s="2">
        <v>21931.761536187121</v>
      </c>
      <c r="C10" s="2">
        <v>60</v>
      </c>
      <c r="D10" s="2">
        <v>1315905.692171227</v>
      </c>
      <c r="E10" s="2">
        <v>5254029.8649802431</v>
      </c>
      <c r="F10" s="2">
        <v>4742881.6855366612</v>
      </c>
      <c r="G10" s="2">
        <v>4308661.6566929454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C19" sqref="C19"/>
    </sheetView>
  </sheetViews>
  <sheetFormatPr defaultRowHeight="14.4" x14ac:dyDescent="0.3"/>
  <cols>
    <col min="1" max="1" width="18.6640625" customWidth="1"/>
    <col min="2" max="2" width="62.6640625" customWidth="1"/>
    <col min="3" max="3" width="10.6640625" customWidth="1"/>
    <col min="4" max="4" width="48.6640625" customWidth="1"/>
  </cols>
  <sheetData>
    <row r="1" spans="1:4" x14ac:dyDescent="0.3">
      <c r="A1" s="22" t="s">
        <v>158</v>
      </c>
      <c r="B1" s="23"/>
      <c r="C1" s="23"/>
      <c r="D1" s="24"/>
    </row>
    <row r="3" spans="1:4" x14ac:dyDescent="0.3">
      <c r="A3" s="4" t="s">
        <v>159</v>
      </c>
      <c r="B3" s="4" t="s">
        <v>160</v>
      </c>
      <c r="C3" s="4" t="s">
        <v>161</v>
      </c>
      <c r="D3" s="4" t="s">
        <v>162</v>
      </c>
    </row>
    <row r="4" spans="1:4" x14ac:dyDescent="0.3">
      <c r="A4" s="1" t="s">
        <v>163</v>
      </c>
      <c r="B4" s="1" t="s">
        <v>164</v>
      </c>
      <c r="C4" s="1">
        <v>3</v>
      </c>
      <c r="D4" s="1" t="s">
        <v>165</v>
      </c>
    </row>
    <row r="5" spans="1:4" x14ac:dyDescent="0.3">
      <c r="A5" s="1" t="s">
        <v>166</v>
      </c>
      <c r="B5" s="1" t="s">
        <v>167</v>
      </c>
      <c r="C5" s="1">
        <v>3</v>
      </c>
      <c r="D5" s="1" t="s">
        <v>168</v>
      </c>
    </row>
    <row r="6" spans="1:4" x14ac:dyDescent="0.3">
      <c r="A6" s="1" t="s">
        <v>169</v>
      </c>
      <c r="B6" s="1" t="s">
        <v>170</v>
      </c>
      <c r="C6" s="1">
        <v>3</v>
      </c>
      <c r="D6" s="1" t="s">
        <v>171</v>
      </c>
    </row>
    <row r="7" spans="1:4" x14ac:dyDescent="0.3">
      <c r="A7" s="1" t="s">
        <v>172</v>
      </c>
      <c r="B7" s="1" t="s">
        <v>173</v>
      </c>
      <c r="C7" s="1">
        <v>3</v>
      </c>
      <c r="D7" s="1" t="s">
        <v>174</v>
      </c>
    </row>
    <row r="8" spans="1:4" x14ac:dyDescent="0.3">
      <c r="A8" s="1" t="s">
        <v>175</v>
      </c>
      <c r="B8" s="1" t="s">
        <v>176</v>
      </c>
      <c r="C8" s="1">
        <v>3</v>
      </c>
      <c r="D8" s="1" t="s">
        <v>177</v>
      </c>
    </row>
    <row r="9" spans="1:4" x14ac:dyDescent="0.3">
      <c r="A9" s="1" t="s">
        <v>178</v>
      </c>
      <c r="B9" s="1" t="s">
        <v>179</v>
      </c>
      <c r="C9" s="1">
        <v>1</v>
      </c>
      <c r="D9" s="1" t="s">
        <v>180</v>
      </c>
    </row>
    <row r="10" spans="1:4" x14ac:dyDescent="0.3">
      <c r="B10" s="4" t="s">
        <v>181</v>
      </c>
      <c r="C10" s="1">
        <f>SUM(C4:C9)</f>
        <v>16</v>
      </c>
    </row>
    <row r="11" spans="1:4" ht="43.2" x14ac:dyDescent="0.3">
      <c r="B11" s="15" t="s">
        <v>182</v>
      </c>
      <c r="C11" s="2">
        <v>100000</v>
      </c>
    </row>
    <row r="12" spans="1:4" x14ac:dyDescent="0.3">
      <c r="B12" s="4" t="s">
        <v>183</v>
      </c>
      <c r="C12" s="2">
        <f>C10*C11</f>
        <v>1600000</v>
      </c>
    </row>
    <row r="14" spans="1:4" ht="52.2" customHeight="1" x14ac:dyDescent="0.3">
      <c r="B14" s="19" t="s">
        <v>184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Supuestos</vt:lpstr>
      <vt:lpstr>Flujos</vt:lpstr>
      <vt:lpstr>CAPEX_implementacion</vt:lpstr>
      <vt:lpstr>B_frente_solar</vt:lpstr>
      <vt:lpstr>Operacion_P1C75</vt:lpstr>
      <vt:lpstr>Costo_academico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Luis Alejandro Zambrano</cp:lastModifiedBy>
  <dcterms:created xsi:type="dcterms:W3CDTF">2026-10-23T19:10:26Z</dcterms:created>
  <dcterms:modified xsi:type="dcterms:W3CDTF">2026-10-23T21:16:53Z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ude.handoff">
    <vt:lpwstr>ryXbUVP9po35HWe474ATvdPcHB6qeTDSDiBeaB9Sm9s</vt:lpwstr>
  </property>
</Properties>
</file>